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I_GUEST\Documents\"/>
    </mc:Choice>
  </mc:AlternateContent>
  <xr:revisionPtr revIDLastSave="0" documentId="13_ncr:1_{56FAB130-B9E7-4188-886E-6B2CD37EE155}" xr6:coauthVersionLast="47" xr6:coauthVersionMax="47" xr10:uidLastSave="{00000000-0000-0000-0000-000000000000}"/>
  <bookViews>
    <workbookView xWindow="21480" yWindow="-120" windowWidth="29040" windowHeight="15840" xr2:uid="{A4A093ED-CDE2-45BA-B379-C393157EC9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/>
  <c r="H15" i="1"/>
  <c r="H14" i="1"/>
  <c r="H12" i="1"/>
  <c r="H11" i="1"/>
  <c r="H10" i="1"/>
  <c r="H9" i="1"/>
  <c r="H8" i="1"/>
  <c r="H7" i="1"/>
  <c r="H6" i="1"/>
  <c r="H13" i="1"/>
  <c r="H5" i="1"/>
  <c r="G5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F8" i="1"/>
  <c r="F17" i="1"/>
  <c r="F16" i="1"/>
  <c r="F15" i="1"/>
  <c r="F14" i="1"/>
  <c r="F13" i="1"/>
  <c r="F12" i="1"/>
  <c r="F11" i="1"/>
  <c r="F10" i="1"/>
  <c r="F9" i="1"/>
  <c r="F7" i="1"/>
  <c r="F6" i="1"/>
  <c r="F5" i="1"/>
  <c r="F4" i="1"/>
  <c r="F3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C10" i="1"/>
  <c r="C9" i="1"/>
  <c r="C8" i="1"/>
  <c r="C7" i="1"/>
  <c r="C6" i="1"/>
  <c r="C5" i="1"/>
  <c r="C4" i="1"/>
  <c r="C3" i="1"/>
  <c r="B10" i="1"/>
  <c r="B9" i="1"/>
  <c r="B8" i="1"/>
  <c r="B7" i="1"/>
  <c r="B6" i="1"/>
  <c r="B5" i="1"/>
  <c r="B4" i="1"/>
  <c r="B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<sst xmlns="http://schemas.openxmlformats.org/spreadsheetml/2006/main" count="36" uniqueCount="10">
  <si>
    <t>Salón</t>
  </si>
  <si>
    <t>Granada</t>
  </si>
  <si>
    <t>Vallano</t>
  </si>
  <si>
    <t>Casa 74</t>
  </si>
  <si>
    <t>Casa 4</t>
  </si>
  <si>
    <t>Casa 5</t>
  </si>
  <si>
    <t>Orquideorama</t>
  </si>
  <si>
    <t>Casa Pance</t>
  </si>
  <si>
    <t>Obsequio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</si>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</sst>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40A]\ * #,##0_-;\-[$$-240A]\ * #,##0_-;_-[$$-240A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Segoe UI Historic"/>
      <family val="2"/>
    </font>
    <font>
      <sz val="11"/>
      <color theme="1"/>
      <name val="Segoe UI Histor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4" fontId="0" fillId="0" borderId="0" xfId="1" applyFont="1"/>
    <xf numFmtId="0" fontId="4" fillId="0" borderId="0" xfId="0" applyFont="1"/>
    <xf numFmtId="0" fontId="5" fillId="0" borderId="0" xfId="0" applyFont="1"/>
    <xf numFmtId="44" fontId="5" fillId="0" borderId="0" xfId="0" applyNumberFormat="1" applyFont="1"/>
    <xf numFmtId="164" fontId="5" fillId="0" borderId="0" xfId="1" applyNumberFormat="1" applyFont="1" applyAlignment="1">
      <alignment horizontal="center" vertical="center"/>
    </xf>
    <xf numFmtId="44" fontId="5" fillId="0" borderId="0" xfId="1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numFmt numFmtId="164" formatCode="_-[$$-240A]\ * #,##0_-;\-[$$-240A]\ * #,##0_-;_-[$$-24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numFmt numFmtId="164" formatCode="_-[$$-240A]\ * #,##0_-;\-[$$-240A]\ * #,##0_-;_-[$$-24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numFmt numFmtId="164" formatCode="_-[$$-240A]\ * #,##0_-;\-[$$-240A]\ * #,##0_-;_-[$$-24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numFmt numFmtId="164" formatCode="_-[$$-240A]\ * #,##0_-;\-[$$-240A]\ * #,##0_-;_-[$$-24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numFmt numFmtId="164" formatCode="_-[$$-240A]\ * #,##0_-;\-[$$-240A]\ * #,##0_-;_-[$$-24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63A9D2-BE0B-477D-B85C-0DDACF2D86FD}" name="Tabla1" displayName="Tabla1" ref="A1:H20" totalsRowShown="0" headerRowDxfId="9" dataDxfId="8">
  <autoFilter ref="A1:H20" xr:uid="{C063A9D2-BE0B-477D-B85C-0DDACF2D86FD}"/>
  <tableColumns count="8">
    <tableColumn id="1" xr3:uid="{CFA540D4-0F1A-4162-A5C2-5E9480320780}" name="Salón" dataDxfId="7">
      <calculatedColumnFormula>A1+10</calculatedColumnFormula>
    </tableColumn>
    <tableColumn id="2" xr3:uid="{B26714D3-9689-4E5F-8393-D9B26282B870}" name="Granada" dataDxfId="6" dataCellStyle="Moneda"/>
    <tableColumn id="3" xr3:uid="{50FB1CF3-82DB-4D9B-AFCC-DCB71102CAB3}" name="Vallano" dataDxfId="5" dataCellStyle="Moneda"/>
    <tableColumn id="4" xr3:uid="{F2FEF0DE-6540-4A1A-8FC6-C65C1FDD8D2A}" name="Casa 74" dataDxfId="4" dataCellStyle="Moneda"/>
    <tableColumn id="5" xr3:uid="{4D1BDC32-6147-4D2B-A2EE-8F04E46E15BF}" name="Casa 4" dataDxfId="3" dataCellStyle="Moneda"/>
    <tableColumn id="7" xr3:uid="{6D0ED9FA-C03E-489B-8906-2C39E13ABD13}" name="Casa 5" dataDxfId="2" dataCellStyle="Moneda">
      <calculatedColumnFormula>9900000+$M$3</calculatedColumnFormula>
    </tableColumn>
    <tableColumn id="6" xr3:uid="{81B3887C-C8D4-4808-A14A-419EE6D01DBF}" name="Orquideorama" dataDxfId="1" dataCellStyle="Moneda"/>
    <tableColumn id="8" xr3:uid="{93B5643E-D5AC-4C78-AFD2-550B330E9D8D}" name="Casa Panc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6B9F-B7FE-4986-B919-15E48182ABA0}">
  <dimension ref="A1:M20"/>
  <sheetViews>
    <sheetView tabSelected="1" zoomScale="115" zoomScaleNormal="115" workbookViewId="0">
      <selection activeCell="H10" sqref="H10"/>
    </sheetView>
  </sheetViews>
  <sheetFormatPr baseColWidth="10" defaultRowHeight="15" x14ac:dyDescent="0.25"/>
  <cols>
    <col min="1" max="1" width="17.42578125" customWidth="1"/>
    <col min="2" max="2" width="19.140625" bestFit="1" customWidth="1"/>
    <col min="3" max="8" width="17.42578125" customWidth="1"/>
    <col min="11" max="11" width="15.5703125" bestFit="1" customWidth="1"/>
    <col min="13" max="13" width="14.85546875" customWidth="1"/>
  </cols>
  <sheetData>
    <row r="1" spans="1:13" ht="16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K1" s="1"/>
    </row>
    <row r="2" spans="1:13" ht="16.5" x14ac:dyDescent="0.3">
      <c r="A2" s="3"/>
      <c r="B2" s="4"/>
      <c r="C2" s="4"/>
      <c r="D2" s="4"/>
      <c r="E2" s="4"/>
      <c r="F2" s="5"/>
      <c r="G2" s="6"/>
      <c r="H2" s="6"/>
      <c r="I2" s="2"/>
      <c r="J2" s="2"/>
      <c r="K2" s="2"/>
      <c r="M2" t="s">
        <v>8</v>
      </c>
    </row>
    <row r="3" spans="1:13" ht="16.5" x14ac:dyDescent="0.3">
      <c r="A3" s="3">
        <v>30</v>
      </c>
      <c r="B3" s="6">
        <f>7900000+$M$3</f>
        <v>9900000</v>
      </c>
      <c r="C3" s="6">
        <f>8400000+$M$3</f>
        <v>10400000</v>
      </c>
      <c r="D3" s="6">
        <f>9500000+$M$3</f>
        <v>11500000</v>
      </c>
      <c r="E3" s="6">
        <f>9200000+$M$3</f>
        <v>11200000</v>
      </c>
      <c r="F3" s="6">
        <f>9900000+$M$3</f>
        <v>11900000</v>
      </c>
      <c r="G3" s="6" t="s">
        <v>9</v>
      </c>
      <c r="H3" s="6" t="s">
        <v>9</v>
      </c>
      <c r="I3" s="2"/>
      <c r="J3" s="2"/>
      <c r="K3" s="2"/>
      <c r="M3" s="2">
        <v>2000000</v>
      </c>
    </row>
    <row r="4" spans="1:13" ht="16.5" x14ac:dyDescent="0.3">
      <c r="A4" s="3">
        <f>A3+10</f>
        <v>40</v>
      </c>
      <c r="B4" s="6">
        <f>8300000+$M$3</f>
        <v>10300000</v>
      </c>
      <c r="C4" s="6">
        <f>8800000+$M$3</f>
        <v>10800000</v>
      </c>
      <c r="D4" s="6">
        <f>9800000+$M$3</f>
        <v>11800000</v>
      </c>
      <c r="E4" s="6">
        <f>9600000+$M$3</f>
        <v>11600000</v>
      </c>
      <c r="F4" s="6">
        <f>10200000+$M$3</f>
        <v>12200000</v>
      </c>
      <c r="G4" s="6" t="s">
        <v>9</v>
      </c>
      <c r="H4" s="6" t="s">
        <v>9</v>
      </c>
      <c r="I4" s="2"/>
      <c r="J4" s="2"/>
      <c r="K4" s="2"/>
    </row>
    <row r="5" spans="1:13" ht="16.5" x14ac:dyDescent="0.3">
      <c r="A5" s="3">
        <f>A4+10</f>
        <v>50</v>
      </c>
      <c r="B5" s="6">
        <f>8900000+$M$3</f>
        <v>10900000</v>
      </c>
      <c r="C5" s="6">
        <f>9400000+$M$3</f>
        <v>11400000</v>
      </c>
      <c r="D5" s="6">
        <f>10400000+$M$3</f>
        <v>12400000</v>
      </c>
      <c r="E5" s="6">
        <f>10200000+$M$3</f>
        <v>12200000</v>
      </c>
      <c r="F5" s="6">
        <f>10800000+$M$3</f>
        <v>12800000</v>
      </c>
      <c r="G5" s="6">
        <f>10500000+$M$3</f>
        <v>12500000</v>
      </c>
      <c r="H5" s="6">
        <f>11200000+$M$3</f>
        <v>13200000</v>
      </c>
      <c r="I5" s="2"/>
      <c r="J5" s="2"/>
      <c r="K5" s="2"/>
    </row>
    <row r="6" spans="1:13" ht="16.5" x14ac:dyDescent="0.3">
      <c r="A6" s="3">
        <f t="shared" ref="A6:A18" si="0">A5+10</f>
        <v>60</v>
      </c>
      <c r="B6" s="6">
        <f>9600000+$M$3</f>
        <v>11600000</v>
      </c>
      <c r="C6" s="6">
        <f>10100000+$M$3</f>
        <v>12100000</v>
      </c>
      <c r="D6" s="6">
        <f>10800000+$M$3</f>
        <v>12800000</v>
      </c>
      <c r="E6" s="6">
        <f>10900000+$M$3</f>
        <v>12900000</v>
      </c>
      <c r="F6" s="6">
        <f>11200000+$M$3</f>
        <v>13200000</v>
      </c>
      <c r="G6" s="6">
        <f>10900000+$M$3</f>
        <v>12900000</v>
      </c>
      <c r="H6" s="6">
        <f>11700000+$M$3</f>
        <v>13700000</v>
      </c>
      <c r="I6" s="2"/>
      <c r="J6" s="2"/>
      <c r="K6" s="2"/>
    </row>
    <row r="7" spans="1:13" ht="16.5" x14ac:dyDescent="0.3">
      <c r="A7" s="3">
        <f t="shared" si="0"/>
        <v>70</v>
      </c>
      <c r="B7" s="6">
        <f>10200000+$M$3</f>
        <v>12200000</v>
      </c>
      <c r="C7" s="6">
        <f>10700000+$M$3</f>
        <v>12700000</v>
      </c>
      <c r="D7" s="6">
        <f>11200000+$M$3</f>
        <v>13200000</v>
      </c>
      <c r="E7" s="6">
        <f>11500000+$M$3</f>
        <v>13500000</v>
      </c>
      <c r="F7" s="6">
        <f>11600000+$M$3</f>
        <v>13600000</v>
      </c>
      <c r="G7" s="6">
        <f>11500000+$M$3</f>
        <v>13500000</v>
      </c>
      <c r="H7" s="6">
        <f>12300000+$M$3</f>
        <v>14300000</v>
      </c>
      <c r="I7" s="2"/>
      <c r="J7" s="2"/>
      <c r="K7" s="2"/>
    </row>
    <row r="8" spans="1:13" ht="16.5" x14ac:dyDescent="0.3">
      <c r="A8" s="3">
        <f t="shared" si="0"/>
        <v>80</v>
      </c>
      <c r="B8" s="6">
        <f>10600000+$M$3</f>
        <v>12600000</v>
      </c>
      <c r="C8" s="6">
        <f>11100000+$M$3</f>
        <v>13100000</v>
      </c>
      <c r="D8" s="6">
        <f>11600000+$M$3</f>
        <v>13600000</v>
      </c>
      <c r="E8" s="6">
        <f>11900000+$M$3</f>
        <v>13900000</v>
      </c>
      <c r="F8" s="6">
        <f>12000000+$M$3</f>
        <v>14000000</v>
      </c>
      <c r="G8" s="6">
        <f>11900000+$M$3</f>
        <v>13900000</v>
      </c>
      <c r="H8" s="6">
        <f>12700000+$M$3</f>
        <v>14700000</v>
      </c>
      <c r="I8" s="2"/>
      <c r="J8" s="2"/>
      <c r="K8" s="2"/>
    </row>
    <row r="9" spans="1:13" ht="16.5" x14ac:dyDescent="0.3">
      <c r="A9" s="3">
        <f t="shared" si="0"/>
        <v>90</v>
      </c>
      <c r="B9" s="6">
        <f>11000000+$M$3</f>
        <v>13000000</v>
      </c>
      <c r="C9" s="6">
        <f>11500000+$M$3</f>
        <v>13500000</v>
      </c>
      <c r="D9" s="6">
        <f>12000000+$M$3</f>
        <v>14000000</v>
      </c>
      <c r="E9" s="6">
        <f>12300000+$M$3</f>
        <v>14300000</v>
      </c>
      <c r="F9" s="6">
        <f>12500000+$M$3</f>
        <v>14500000</v>
      </c>
      <c r="G9" s="6">
        <f>12300000+$M$3</f>
        <v>14300000</v>
      </c>
      <c r="H9" s="6">
        <f>13100000+$M$3</f>
        <v>15100000</v>
      </c>
      <c r="I9" s="2"/>
      <c r="J9" s="2"/>
      <c r="K9" s="2"/>
    </row>
    <row r="10" spans="1:13" ht="16.5" x14ac:dyDescent="0.3">
      <c r="A10" s="3">
        <f t="shared" si="0"/>
        <v>100</v>
      </c>
      <c r="B10" s="6">
        <f>11400000+$M$3</f>
        <v>13400000</v>
      </c>
      <c r="C10" s="6">
        <f>11900000+$M$3</f>
        <v>13900000</v>
      </c>
      <c r="D10" s="6">
        <f>12400000+$M$3</f>
        <v>14400000</v>
      </c>
      <c r="E10" s="6">
        <f>12700000+$M$3</f>
        <v>14700000</v>
      </c>
      <c r="F10" s="6">
        <f>12900000+$M$3</f>
        <v>14900000</v>
      </c>
      <c r="G10" s="6">
        <f>12700000+$M$3</f>
        <v>14700000</v>
      </c>
      <c r="H10" s="6">
        <f>13600000+$M$3</f>
        <v>15600000</v>
      </c>
      <c r="I10" s="2"/>
      <c r="J10" s="2"/>
      <c r="K10" s="2"/>
    </row>
    <row r="11" spans="1:13" ht="16.5" x14ac:dyDescent="0.3">
      <c r="A11" s="3">
        <f t="shared" si="0"/>
        <v>110</v>
      </c>
      <c r="B11" s="7" t="s">
        <v>9</v>
      </c>
      <c r="C11" s="7" t="s">
        <v>9</v>
      </c>
      <c r="D11" s="6">
        <f>12800000+$M$3</f>
        <v>14800000</v>
      </c>
      <c r="E11" s="6">
        <f>13300000+$M$3</f>
        <v>15300000</v>
      </c>
      <c r="F11" s="6">
        <f>13500000+$M$3</f>
        <v>15500000</v>
      </c>
      <c r="G11" s="6">
        <f>13300000+$M$3</f>
        <v>15300000</v>
      </c>
      <c r="H11" s="6">
        <f>14100000+$M$3</f>
        <v>16100000</v>
      </c>
      <c r="I11" s="2"/>
      <c r="J11" s="2"/>
      <c r="K11" s="2"/>
    </row>
    <row r="12" spans="1:13" ht="16.5" x14ac:dyDescent="0.3">
      <c r="A12" s="3">
        <f t="shared" si="0"/>
        <v>120</v>
      </c>
      <c r="B12" s="7" t="s">
        <v>9</v>
      </c>
      <c r="C12" s="7" t="s">
        <v>9</v>
      </c>
      <c r="D12" s="6">
        <f>13400000+$M$3</f>
        <v>15400000</v>
      </c>
      <c r="E12" s="6">
        <f>13700000+$M$3</f>
        <v>15700000</v>
      </c>
      <c r="F12" s="6">
        <f>14000000+$M$3</f>
        <v>16000000</v>
      </c>
      <c r="G12" s="6">
        <f>13700000+$M$3</f>
        <v>15700000</v>
      </c>
      <c r="H12" s="6">
        <f>14500000+$M$3</f>
        <v>16500000</v>
      </c>
      <c r="I12" s="2"/>
      <c r="J12" s="2"/>
      <c r="K12" s="2"/>
    </row>
    <row r="13" spans="1:13" ht="16.5" x14ac:dyDescent="0.3">
      <c r="A13" s="3">
        <f t="shared" si="0"/>
        <v>130</v>
      </c>
      <c r="B13" s="7" t="s">
        <v>9</v>
      </c>
      <c r="C13" s="7" t="s">
        <v>9</v>
      </c>
      <c r="D13" s="6">
        <f>13900000+$M$3</f>
        <v>15900000</v>
      </c>
      <c r="E13" s="6">
        <f>14100000+$M$3</f>
        <v>16100000</v>
      </c>
      <c r="F13" s="6">
        <f>14400000+$M$3</f>
        <v>16400000</v>
      </c>
      <c r="G13" s="6">
        <f>14100000+$M$3</f>
        <v>16100000</v>
      </c>
      <c r="H13" s="6">
        <f>14900000+$M$3</f>
        <v>16900000</v>
      </c>
      <c r="I13" s="2"/>
      <c r="J13" s="2"/>
      <c r="K13" s="2"/>
    </row>
    <row r="14" spans="1:13" ht="16.5" x14ac:dyDescent="0.3">
      <c r="A14" s="3">
        <f t="shared" si="0"/>
        <v>140</v>
      </c>
      <c r="B14" s="7" t="s">
        <v>9</v>
      </c>
      <c r="C14" s="7" t="s">
        <v>9</v>
      </c>
      <c r="D14" s="6">
        <f>14500000+$M$3</f>
        <v>16500000</v>
      </c>
      <c r="E14" s="6">
        <f>14700000+$M$3</f>
        <v>16700000</v>
      </c>
      <c r="F14" s="6">
        <f>14900000+$M$3</f>
        <v>16900000</v>
      </c>
      <c r="G14" s="6">
        <f>14700000+$M$3</f>
        <v>16700000</v>
      </c>
      <c r="H14" s="6">
        <f>15500000+$M$3</f>
        <v>17500000</v>
      </c>
      <c r="I14" s="2"/>
      <c r="J14" s="2"/>
      <c r="K14" s="2"/>
    </row>
    <row r="15" spans="1:13" ht="16.5" x14ac:dyDescent="0.3">
      <c r="A15" s="3">
        <f t="shared" si="0"/>
        <v>150</v>
      </c>
      <c r="B15" s="7" t="s">
        <v>9</v>
      </c>
      <c r="C15" s="7" t="s">
        <v>9</v>
      </c>
      <c r="D15" s="6">
        <f>15200000+$M$3</f>
        <v>17200000</v>
      </c>
      <c r="E15" s="6">
        <f>15500000+$M$3</f>
        <v>17500000</v>
      </c>
      <c r="F15" s="6">
        <f>15700000+$M$3</f>
        <v>17700000</v>
      </c>
      <c r="G15" s="6">
        <f>15500000+$M$3</f>
        <v>17500000</v>
      </c>
      <c r="H15" s="6">
        <f>16300000+$M$3</f>
        <v>18300000</v>
      </c>
      <c r="I15" s="2"/>
      <c r="J15" s="2"/>
      <c r="K15" s="2"/>
    </row>
    <row r="16" spans="1:13" ht="16.5" x14ac:dyDescent="0.3">
      <c r="A16" s="3">
        <f t="shared" si="0"/>
        <v>160</v>
      </c>
      <c r="B16" s="7" t="s">
        <v>9</v>
      </c>
      <c r="C16" s="7" t="s">
        <v>9</v>
      </c>
      <c r="D16" s="6">
        <f>15700000+$M$3</f>
        <v>17700000</v>
      </c>
      <c r="E16" s="6">
        <f>16100000+$M$3</f>
        <v>18100000</v>
      </c>
      <c r="F16" s="6">
        <f>16200000+$M$3</f>
        <v>18200000</v>
      </c>
      <c r="G16" s="6">
        <f>16100000+$M$3</f>
        <v>18100000</v>
      </c>
      <c r="H16" s="6">
        <f>16800000+$M$3</f>
        <v>18800000</v>
      </c>
      <c r="I16" s="2"/>
      <c r="J16" s="2"/>
      <c r="K16" s="2"/>
    </row>
    <row r="17" spans="1:11" ht="16.5" x14ac:dyDescent="0.3">
      <c r="A17" s="3">
        <f t="shared" si="0"/>
        <v>170</v>
      </c>
      <c r="B17" s="7" t="s">
        <v>9</v>
      </c>
      <c r="C17" s="7" t="s">
        <v>9</v>
      </c>
      <c r="D17" s="6">
        <f>16300000+$M$3</f>
        <v>18300000</v>
      </c>
      <c r="E17" s="6">
        <f>16700000+$M$3</f>
        <v>18700000</v>
      </c>
      <c r="F17" s="6">
        <f>17000000+$M$3</f>
        <v>19000000</v>
      </c>
      <c r="G17" s="6">
        <f>16700000+$M$3</f>
        <v>18700000</v>
      </c>
      <c r="H17" s="6">
        <f>17500000+$M$3</f>
        <v>19500000</v>
      </c>
      <c r="I17" s="2"/>
      <c r="J17" s="2"/>
      <c r="K17" s="2"/>
    </row>
    <row r="18" spans="1:11" ht="16.5" x14ac:dyDescent="0.3">
      <c r="A18" s="3">
        <f t="shared" si="0"/>
        <v>180</v>
      </c>
      <c r="B18" s="7" t="s">
        <v>9</v>
      </c>
      <c r="C18" s="7" t="s">
        <v>9</v>
      </c>
      <c r="D18" s="6">
        <f>16900000+$M$3</f>
        <v>18900000</v>
      </c>
      <c r="E18" s="6">
        <f>17200000+$M$3</f>
        <v>19200000</v>
      </c>
      <c r="F18" s="6" t="s">
        <v>9</v>
      </c>
      <c r="G18" s="6">
        <f>17200000+$M$3</f>
        <v>19200000</v>
      </c>
      <c r="H18" s="6">
        <f>18000000+$M$3</f>
        <v>20000000</v>
      </c>
      <c r="I18" s="2"/>
      <c r="J18" s="2"/>
      <c r="K18" s="2"/>
    </row>
    <row r="19" spans="1:11" ht="16.5" x14ac:dyDescent="0.3">
      <c r="A19" s="3">
        <f>A18+10</f>
        <v>190</v>
      </c>
      <c r="B19" s="7" t="s">
        <v>9</v>
      </c>
      <c r="C19" s="7" t="s">
        <v>9</v>
      </c>
      <c r="D19" s="6">
        <f>17400000+$M$3</f>
        <v>19400000</v>
      </c>
      <c r="E19" s="6">
        <f>17800000+$M$3</f>
        <v>19800000</v>
      </c>
      <c r="F19" s="6" t="s">
        <v>9</v>
      </c>
      <c r="G19" s="6">
        <f>17800000+$M$3</f>
        <v>19800000</v>
      </c>
      <c r="H19" s="6">
        <f>18600000+$M$3</f>
        <v>20600000</v>
      </c>
      <c r="I19" s="2"/>
      <c r="J19" s="2"/>
      <c r="K19" s="2"/>
    </row>
    <row r="20" spans="1:11" ht="16.5" x14ac:dyDescent="0.3">
      <c r="A20" s="3">
        <f>A19+10</f>
        <v>200</v>
      </c>
      <c r="B20" s="7" t="s">
        <v>9</v>
      </c>
      <c r="C20" s="7" t="s">
        <v>9</v>
      </c>
      <c r="D20" s="6">
        <f>18200000+$M$3</f>
        <v>20200000</v>
      </c>
      <c r="E20" s="6">
        <f>18500000+$M$3</f>
        <v>20500000</v>
      </c>
      <c r="F20" s="6" t="s">
        <v>9</v>
      </c>
      <c r="G20" s="6">
        <f>18500000+$M$3</f>
        <v>20500000</v>
      </c>
      <c r="H20" s="6">
        <f>19300000+$M$3</f>
        <v>21300000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HOYOS</dc:creator>
  <cp:lastModifiedBy>SANTIAGO HOYOS</cp:lastModifiedBy>
  <cp:lastPrinted>2026-10-06T15:40:52Z</cp:lastPrinted>
  <dcterms:created xsi:type="dcterms:W3CDTF">2026-10-06T14:54:21Z</dcterms:created>
  <dcterms:modified xsi:type="dcterms:W3CDTF">2026-10-07T17:18:54Z</dcterms:modified>
</cp:coreProperties>
</file>